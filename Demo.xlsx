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YUVRAJ\Desktop\My Activities\GitHub\Excel\"/>
    </mc:Choice>
  </mc:AlternateContent>
  <xr:revisionPtr revIDLastSave="0" documentId="13_ncr:1_{6BDC07DE-822A-4E74-AB60-510500094B1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Nested_If" sheetId="4" r:id="rId2"/>
    <sheet name="Sheet2" sheetId="2" r:id="rId3"/>
    <sheet name="Sheet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I7" i="4" s="1"/>
  <c r="F8" i="4"/>
  <c r="F9" i="4"/>
  <c r="F10" i="4"/>
  <c r="I10" i="4" s="1"/>
  <c r="F11" i="4"/>
  <c r="I11" i="4" s="1"/>
  <c r="F2" i="4"/>
  <c r="G8" i="4"/>
  <c r="H8" i="4" s="1"/>
  <c r="G9" i="4"/>
  <c r="H9" i="4" s="1"/>
  <c r="G10" i="4"/>
  <c r="H10" i="4" s="1"/>
  <c r="G11" i="4"/>
  <c r="H11" i="4" s="1"/>
  <c r="G7" i="4"/>
  <c r="H7" i="4" s="1"/>
  <c r="F2" i="3"/>
  <c r="G6" i="4"/>
  <c r="H6" i="4" s="1"/>
  <c r="G5" i="4"/>
  <c r="H5" i="4" s="1"/>
  <c r="G4" i="4"/>
  <c r="H4" i="4" s="1"/>
  <c r="G3" i="4"/>
  <c r="H3" i="4" s="1"/>
  <c r="G2" i="4"/>
  <c r="H2" i="4" s="1"/>
  <c r="F3" i="3"/>
  <c r="F4" i="3"/>
  <c r="F5" i="3"/>
  <c r="F6" i="3"/>
  <c r="F7" i="3"/>
  <c r="F8" i="3"/>
  <c r="F9" i="3"/>
  <c r="F10" i="3"/>
  <c r="E3" i="3"/>
  <c r="E4" i="3"/>
  <c r="E5" i="3"/>
  <c r="E6" i="3"/>
  <c r="E7" i="3"/>
  <c r="E8" i="3"/>
  <c r="E9" i="3"/>
  <c r="E10" i="3"/>
  <c r="E2" i="3"/>
  <c r="F3" i="2"/>
  <c r="F4" i="2"/>
  <c r="F5" i="2"/>
  <c r="F6" i="2"/>
  <c r="F2" i="2"/>
  <c r="J4" i="1"/>
  <c r="K3" i="1"/>
  <c r="K4" i="1"/>
  <c r="K5" i="1"/>
  <c r="K2" i="1"/>
  <c r="J3" i="1"/>
  <c r="J5" i="1"/>
  <c r="J2" i="1"/>
  <c r="I3" i="1"/>
  <c r="I4" i="1"/>
  <c r="I5" i="1"/>
  <c r="I6" i="1"/>
  <c r="I2" i="1"/>
  <c r="H3" i="1"/>
  <c r="H4" i="1"/>
  <c r="H5" i="1"/>
  <c r="H6" i="1"/>
  <c r="H2" i="1"/>
  <c r="G3" i="1"/>
  <c r="G4" i="1"/>
  <c r="G5" i="1"/>
  <c r="G6" i="1"/>
  <c r="G2" i="1"/>
  <c r="F3" i="1"/>
  <c r="F4" i="1"/>
  <c r="F5" i="1"/>
  <c r="F6" i="1"/>
  <c r="J6" i="1" s="1"/>
  <c r="K6" i="1" s="1"/>
  <c r="F2" i="1"/>
  <c r="I3" i="4" l="1"/>
  <c r="I4" i="4"/>
  <c r="I5" i="4"/>
  <c r="I6" i="4"/>
  <c r="I8" i="4"/>
  <c r="I9" i="4"/>
  <c r="I2" i="4"/>
</calcChain>
</file>

<file path=xl/sharedStrings.xml><?xml version="1.0" encoding="utf-8"?>
<sst xmlns="http://schemas.openxmlformats.org/spreadsheetml/2006/main" count="70" uniqueCount="33">
  <si>
    <t>Sr. No</t>
  </si>
  <si>
    <t>Name of Student</t>
  </si>
  <si>
    <t>Sub1</t>
  </si>
  <si>
    <t>Sub2</t>
  </si>
  <si>
    <t>Sub3</t>
  </si>
  <si>
    <t>Total</t>
  </si>
  <si>
    <t>A</t>
  </si>
  <si>
    <t>B</t>
  </si>
  <si>
    <t>C</t>
  </si>
  <si>
    <t>D</t>
  </si>
  <si>
    <t>E</t>
  </si>
  <si>
    <t>Max</t>
  </si>
  <si>
    <t>Min</t>
  </si>
  <si>
    <t>Average</t>
  </si>
  <si>
    <t>%Age</t>
  </si>
  <si>
    <t>Result</t>
  </si>
  <si>
    <t xml:space="preserve">df </t>
  </si>
  <si>
    <t>Employee Name</t>
  </si>
  <si>
    <t>Sr No</t>
  </si>
  <si>
    <t>Performance rating</t>
  </si>
  <si>
    <t>Promotion: Yes/No</t>
  </si>
  <si>
    <t>Days(/180)</t>
  </si>
  <si>
    <t>F</t>
  </si>
  <si>
    <t>G</t>
  </si>
  <si>
    <t>H</t>
  </si>
  <si>
    <t>I</t>
  </si>
  <si>
    <t>And condition</t>
  </si>
  <si>
    <t>Or condition</t>
  </si>
  <si>
    <t>%Avg</t>
  </si>
  <si>
    <t>J</t>
  </si>
  <si>
    <t>Grades</t>
  </si>
  <si>
    <t>O</t>
  </si>
  <si>
    <t>Sub Passing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</si>
</sst>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zoomScale="240" zoomScaleNormal="240" workbookViewId="0">
      <selection activeCell="K2" sqref="K2"/>
    </sheetView>
  </sheetViews>
  <sheetFormatPr defaultRowHeight="14.4" x14ac:dyDescent="0.3"/>
  <cols>
    <col min="1" max="1" width="6" bestFit="1" customWidth="1"/>
    <col min="2" max="2" width="14.88671875" bestFit="1" customWidth="1"/>
    <col min="3" max="5" width="4.88671875" bestFit="1" customWidth="1"/>
    <col min="6" max="6" width="5.21875" bestFit="1" customWidth="1"/>
    <col min="7" max="7" width="4.5546875" bestFit="1" customWidth="1"/>
    <col min="8" max="8" width="4.109375" bestFit="1" customWidth="1"/>
    <col min="9" max="9" width="7.5546875" bestFit="1" customWidth="1"/>
    <col min="10" max="10" width="5.5546875" bestFit="1" customWidth="1"/>
    <col min="11" max="11" width="6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3">
      <c r="A2">
        <v>1</v>
      </c>
      <c r="B2" t="s">
        <v>6</v>
      </c>
      <c r="C2">
        <v>90</v>
      </c>
      <c r="D2">
        <v>79</v>
      </c>
      <c r="E2">
        <v>44</v>
      </c>
      <c r="F2">
        <f>SUM(C2:E2)</f>
        <v>213</v>
      </c>
      <c r="G2">
        <f>MAX(C2:E2)</f>
        <v>90</v>
      </c>
      <c r="H2">
        <f>MIN(C2:E2)</f>
        <v>44</v>
      </c>
      <c r="I2" s="1">
        <f>AVERAGE(C2:E2)</f>
        <v>71</v>
      </c>
      <c r="J2" s="1">
        <f>F2/300%</f>
        <v>71</v>
      </c>
      <c r="K2" t="str">
        <f>IF(J2&gt;=35,"Pass","Fail")</f>
        <v>Pass</v>
      </c>
    </row>
    <row r="3" spans="1:11" x14ac:dyDescent="0.3">
      <c r="A3">
        <v>2</v>
      </c>
      <c r="B3" t="s">
        <v>7</v>
      </c>
      <c r="C3">
        <v>48</v>
      </c>
      <c r="D3">
        <v>91</v>
      </c>
      <c r="E3">
        <v>77</v>
      </c>
      <c r="F3">
        <f t="shared" ref="F3:F6" si="0">SUM(C3:E3)</f>
        <v>216</v>
      </c>
      <c r="G3">
        <f t="shared" ref="G3:G6" si="1">MAX(C3:E3)</f>
        <v>91</v>
      </c>
      <c r="H3">
        <f t="shared" ref="H3:H6" si="2">MIN(C3:E3)</f>
        <v>48</v>
      </c>
      <c r="I3" s="1">
        <f t="shared" ref="I3:I6" si="3">AVERAGE(C3:E3)</f>
        <v>72</v>
      </c>
      <c r="J3" s="1">
        <f t="shared" ref="J3:J6" si="4">F3/300%</f>
        <v>72</v>
      </c>
      <c r="K3" t="str">
        <f t="shared" ref="K3:K6" si="5">IF(J3&gt;=35,"Pass","Fail")</f>
        <v>Pass</v>
      </c>
    </row>
    <row r="4" spans="1:11" x14ac:dyDescent="0.3">
      <c r="A4">
        <v>3</v>
      </c>
      <c r="B4" t="s">
        <v>8</v>
      </c>
      <c r="C4">
        <v>94</v>
      </c>
      <c r="D4">
        <v>77</v>
      </c>
      <c r="E4">
        <v>80</v>
      </c>
      <c r="F4">
        <f t="shared" si="0"/>
        <v>251</v>
      </c>
      <c r="G4">
        <f t="shared" si="1"/>
        <v>94</v>
      </c>
      <c r="H4">
        <f t="shared" si="2"/>
        <v>77</v>
      </c>
      <c r="I4" s="1">
        <f t="shared" si="3"/>
        <v>83.666666666666671</v>
      </c>
      <c r="J4" s="1">
        <f t="shared" si="4"/>
        <v>83.666666666666671</v>
      </c>
      <c r="K4" t="str">
        <f t="shared" si="5"/>
        <v>Pass</v>
      </c>
    </row>
    <row r="5" spans="1:11" x14ac:dyDescent="0.3">
      <c r="A5">
        <v>4</v>
      </c>
      <c r="B5" t="s">
        <v>9</v>
      </c>
      <c r="C5">
        <v>90</v>
      </c>
      <c r="D5">
        <v>44</v>
      </c>
      <c r="E5">
        <v>55</v>
      </c>
      <c r="F5">
        <f t="shared" si="0"/>
        <v>189</v>
      </c>
      <c r="G5">
        <f t="shared" si="1"/>
        <v>90</v>
      </c>
      <c r="H5">
        <f t="shared" si="2"/>
        <v>44</v>
      </c>
      <c r="I5" s="1">
        <f t="shared" si="3"/>
        <v>63</v>
      </c>
      <c r="J5" s="1">
        <f t="shared" si="4"/>
        <v>63</v>
      </c>
      <c r="K5" t="str">
        <f t="shared" si="5"/>
        <v>Pass</v>
      </c>
    </row>
    <row r="6" spans="1:11" x14ac:dyDescent="0.3">
      <c r="A6">
        <v>5</v>
      </c>
      <c r="B6" t="s">
        <v>10</v>
      </c>
      <c r="C6">
        <v>62</v>
      </c>
      <c r="D6">
        <v>78</v>
      </c>
      <c r="E6">
        <v>77</v>
      </c>
      <c r="F6">
        <f t="shared" si="0"/>
        <v>217</v>
      </c>
      <c r="G6">
        <f t="shared" si="1"/>
        <v>78</v>
      </c>
      <c r="H6">
        <f t="shared" si="2"/>
        <v>62</v>
      </c>
      <c r="I6" s="1">
        <f t="shared" si="3"/>
        <v>72.333333333333329</v>
      </c>
      <c r="J6" s="1">
        <f t="shared" si="4"/>
        <v>72.333333333333329</v>
      </c>
      <c r="K6" t="str">
        <f t="shared" si="5"/>
        <v>Pass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9DE8-5959-4658-88AF-368C7BADC88A}">
  <dimension ref="A1:M11"/>
  <sheetViews>
    <sheetView tabSelected="1" topLeftCell="C1" zoomScale="220" zoomScaleNormal="220" workbookViewId="0">
      <selection activeCell="I2" sqref="I2"/>
    </sheetView>
  </sheetViews>
  <sheetFormatPr defaultRowHeight="14.4" x14ac:dyDescent="0.3"/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</v>
      </c>
      <c r="G1" t="s">
        <v>5</v>
      </c>
      <c r="H1" t="s">
        <v>28</v>
      </c>
      <c r="I1" t="s">
        <v>15</v>
      </c>
      <c r="L1" t="s">
        <v>30</v>
      </c>
    </row>
    <row r="2" spans="1:13" x14ac:dyDescent="0.3">
      <c r="A2">
        <v>1</v>
      </c>
      <c r="B2" t="s">
        <v>6</v>
      </c>
      <c r="C2">
        <v>90</v>
      </c>
      <c r="D2">
        <v>79</v>
      </c>
      <c r="E2">
        <v>44</v>
      </c>
      <c r="F2" t="str">
        <f>IF(AND(C2&gt;=35,D2&gt;=35,E2&gt;=35),"Pass","Fail")</f>
        <v>Pass</v>
      </c>
      <c r="G2">
        <f>SUM(C2:E2)</f>
        <v>213</v>
      </c>
      <c r="H2" s="1">
        <f>G2/300*100</f>
        <v>71</v>
      </c>
      <c r="I2" t="str">
        <f>IF(F2="Fail","Fail",IF(H2&gt;=90,"O",IF(H2&gt;=80,"A",IF(H2&gt;=65,"B",IF(H2&gt;=50,"C",IF(H2&gt;=35,"D","Fail"))))))</f>
        <v>B</v>
      </c>
      <c r="L2" t="s">
        <v>31</v>
      </c>
      <c r="M2">
        <v>90</v>
      </c>
    </row>
    <row r="3" spans="1:13" x14ac:dyDescent="0.3">
      <c r="A3">
        <v>2</v>
      </c>
      <c r="B3" t="s">
        <v>7</v>
      </c>
      <c r="C3">
        <v>48</v>
      </c>
      <c r="D3">
        <v>91</v>
      </c>
      <c r="E3">
        <v>77</v>
      </c>
      <c r="F3" t="str">
        <f t="shared" ref="F3:F11" si="0">IF(AND(C3&gt;=35,D3&gt;=35,E3&gt;=35),"Pass","Fail")</f>
        <v>Pass</v>
      </c>
      <c r="G3">
        <f t="shared" ref="G3:G6" si="1">SUM(C3:E3)</f>
        <v>216</v>
      </c>
      <c r="H3" s="1">
        <f t="shared" ref="H3:H11" si="2">G3/300*100</f>
        <v>72</v>
      </c>
      <c r="I3" t="str">
        <f t="shared" ref="I3:I11" si="3">IF(F3="Fail","Fail",IF(H3&gt;=90,"O",IF(H3&gt;=80,"A",IF(H3&gt;=65,"B",IF(H3&gt;=50,"C",IF(H3&gt;=35,"D","Fail"))))))</f>
        <v>B</v>
      </c>
      <c r="L3" t="s">
        <v>6</v>
      </c>
      <c r="M3">
        <v>80</v>
      </c>
    </row>
    <row r="4" spans="1:13" x14ac:dyDescent="0.3">
      <c r="A4">
        <v>3</v>
      </c>
      <c r="B4" t="s">
        <v>8</v>
      </c>
      <c r="C4">
        <v>94</v>
      </c>
      <c r="D4">
        <v>77</v>
      </c>
      <c r="E4">
        <v>80</v>
      </c>
      <c r="F4" t="str">
        <f t="shared" si="0"/>
        <v>Pass</v>
      </c>
      <c r="G4">
        <f t="shared" si="1"/>
        <v>251</v>
      </c>
      <c r="H4" s="1">
        <f t="shared" si="2"/>
        <v>83.666666666666671</v>
      </c>
      <c r="I4" t="str">
        <f t="shared" si="3"/>
        <v>A</v>
      </c>
      <c r="L4" t="s">
        <v>7</v>
      </c>
      <c r="M4">
        <v>65</v>
      </c>
    </row>
    <row r="5" spans="1:13" x14ac:dyDescent="0.3">
      <c r="A5">
        <v>4</v>
      </c>
      <c r="B5" t="s">
        <v>9</v>
      </c>
      <c r="C5">
        <v>90</v>
      </c>
      <c r="D5">
        <v>44</v>
      </c>
      <c r="E5">
        <v>55</v>
      </c>
      <c r="F5" t="str">
        <f t="shared" si="0"/>
        <v>Pass</v>
      </c>
      <c r="G5">
        <f t="shared" si="1"/>
        <v>189</v>
      </c>
      <c r="H5" s="1">
        <f t="shared" si="2"/>
        <v>63</v>
      </c>
      <c r="I5" t="str">
        <f t="shared" si="3"/>
        <v>C</v>
      </c>
      <c r="L5" t="s">
        <v>8</v>
      </c>
      <c r="M5">
        <v>50</v>
      </c>
    </row>
    <row r="6" spans="1:13" x14ac:dyDescent="0.3">
      <c r="A6">
        <v>5</v>
      </c>
      <c r="B6" t="s">
        <v>10</v>
      </c>
      <c r="C6">
        <v>62</v>
      </c>
      <c r="D6">
        <v>78</v>
      </c>
      <c r="E6">
        <v>77</v>
      </c>
      <c r="F6" t="str">
        <f t="shared" si="0"/>
        <v>Pass</v>
      </c>
      <c r="G6">
        <f t="shared" si="1"/>
        <v>217</v>
      </c>
      <c r="H6" s="1">
        <f t="shared" si="2"/>
        <v>72.333333333333343</v>
      </c>
      <c r="I6" t="str">
        <f t="shared" si="3"/>
        <v>B</v>
      </c>
      <c r="L6" t="s">
        <v>9</v>
      </c>
      <c r="M6">
        <v>35</v>
      </c>
    </row>
    <row r="7" spans="1:13" x14ac:dyDescent="0.3">
      <c r="A7">
        <v>6</v>
      </c>
      <c r="B7" t="s">
        <v>22</v>
      </c>
      <c r="C7">
        <v>88</v>
      </c>
      <c r="D7">
        <v>33</v>
      </c>
      <c r="E7">
        <v>48</v>
      </c>
      <c r="F7" t="str">
        <f t="shared" si="0"/>
        <v>Fail</v>
      </c>
      <c r="G7">
        <f t="shared" ref="G7:G11" si="4">SUM(C7:E7)</f>
        <v>169</v>
      </c>
      <c r="H7" s="1">
        <f t="shared" si="2"/>
        <v>56.333333333333336</v>
      </c>
      <c r="I7" t="str">
        <f t="shared" si="3"/>
        <v>Fail</v>
      </c>
    </row>
    <row r="8" spans="1:13" x14ac:dyDescent="0.3">
      <c r="A8">
        <v>7</v>
      </c>
      <c r="B8" t="s">
        <v>23</v>
      </c>
      <c r="C8">
        <v>47</v>
      </c>
      <c r="D8">
        <v>97</v>
      </c>
      <c r="E8">
        <v>75</v>
      </c>
      <c r="F8" t="str">
        <f t="shared" si="0"/>
        <v>Pass</v>
      </c>
      <c r="G8">
        <f t="shared" si="4"/>
        <v>219</v>
      </c>
      <c r="H8" s="1">
        <f t="shared" si="2"/>
        <v>73</v>
      </c>
      <c r="I8" t="str">
        <f t="shared" si="3"/>
        <v>B</v>
      </c>
    </row>
    <row r="9" spans="1:13" x14ac:dyDescent="0.3">
      <c r="A9">
        <v>8</v>
      </c>
      <c r="B9" t="s">
        <v>24</v>
      </c>
      <c r="C9">
        <v>50</v>
      </c>
      <c r="D9">
        <v>40</v>
      </c>
      <c r="E9">
        <v>80</v>
      </c>
      <c r="F9" t="str">
        <f t="shared" si="0"/>
        <v>Pass</v>
      </c>
      <c r="G9">
        <f t="shared" si="4"/>
        <v>170</v>
      </c>
      <c r="H9" s="1">
        <f t="shared" si="2"/>
        <v>56.666666666666664</v>
      </c>
      <c r="I9" t="str">
        <f t="shared" si="3"/>
        <v>C</v>
      </c>
    </row>
    <row r="10" spans="1:13" x14ac:dyDescent="0.3">
      <c r="A10">
        <v>9</v>
      </c>
      <c r="B10" t="s">
        <v>25</v>
      </c>
      <c r="C10">
        <v>15</v>
      </c>
      <c r="D10">
        <v>41</v>
      </c>
      <c r="E10">
        <v>79</v>
      </c>
      <c r="F10" t="str">
        <f t="shared" si="0"/>
        <v>Fail</v>
      </c>
      <c r="G10">
        <f t="shared" si="4"/>
        <v>135</v>
      </c>
      <c r="H10" s="1">
        <f t="shared" si="2"/>
        <v>45</v>
      </c>
      <c r="I10" t="str">
        <f t="shared" si="3"/>
        <v>Fail</v>
      </c>
    </row>
    <row r="11" spans="1:13" x14ac:dyDescent="0.3">
      <c r="A11">
        <v>10</v>
      </c>
      <c r="B11" t="s">
        <v>29</v>
      </c>
      <c r="C11">
        <v>61</v>
      </c>
      <c r="D11">
        <v>64</v>
      </c>
      <c r="E11">
        <v>14</v>
      </c>
      <c r="F11" t="str">
        <f t="shared" si="0"/>
        <v>Fail</v>
      </c>
      <c r="G11">
        <f t="shared" si="4"/>
        <v>139</v>
      </c>
      <c r="H11" s="1">
        <f t="shared" si="2"/>
        <v>46.333333333333329</v>
      </c>
      <c r="I11" t="str">
        <f t="shared" si="3"/>
        <v>Fail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507E9-BEC7-4583-B3E5-5ECEC7CDD939}">
  <dimension ref="A1:F7"/>
  <sheetViews>
    <sheetView zoomScale="196" workbookViewId="0">
      <selection activeCell="F2" sqref="F2"/>
    </sheetView>
  </sheetViews>
  <sheetFormatPr defaultRowHeight="14.4" x14ac:dyDescent="0.3"/>
  <cols>
    <col min="1" max="1" width="6" bestFit="1" customWidth="1"/>
    <col min="2" max="2" width="15" bestFit="1" customWidth="1"/>
    <col min="3" max="5" width="4.88671875" bestFit="1" customWidth="1"/>
    <col min="6" max="6" width="6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</v>
      </c>
    </row>
    <row r="2" spans="1:6" x14ac:dyDescent="0.3">
      <c r="A2">
        <v>1</v>
      </c>
      <c r="B2" t="s">
        <v>6</v>
      </c>
      <c r="C2">
        <v>90</v>
      </c>
      <c r="D2">
        <v>79</v>
      </c>
      <c r="E2">
        <v>44</v>
      </c>
      <c r="F2" t="str">
        <f>IF(AND(C2&gt;=35,D2&gt;=35,E2&gt;=35),"Pass","Fail")</f>
        <v>Pass</v>
      </c>
    </row>
    <row r="3" spans="1:6" x14ac:dyDescent="0.3">
      <c r="A3">
        <v>2</v>
      </c>
      <c r="B3" t="s">
        <v>7</v>
      </c>
      <c r="C3">
        <v>48</v>
      </c>
      <c r="D3">
        <v>29</v>
      </c>
      <c r="E3">
        <v>77</v>
      </c>
      <c r="F3" t="str">
        <f t="shared" ref="F3:F6" si="0">IF(AND(C3&gt;=35,D3&gt;=35,E3&gt;=35),"Pass","Fail")</f>
        <v>Fail</v>
      </c>
    </row>
    <row r="4" spans="1:6" x14ac:dyDescent="0.3">
      <c r="A4">
        <v>3</v>
      </c>
      <c r="B4" t="s">
        <v>8</v>
      </c>
      <c r="C4">
        <v>94</v>
      </c>
      <c r="D4">
        <v>77</v>
      </c>
      <c r="E4">
        <v>80</v>
      </c>
      <c r="F4" t="str">
        <f t="shared" si="0"/>
        <v>Pass</v>
      </c>
    </row>
    <row r="5" spans="1:6" x14ac:dyDescent="0.3">
      <c r="A5">
        <v>4</v>
      </c>
      <c r="B5" t="s">
        <v>9</v>
      </c>
      <c r="C5">
        <v>90</v>
      </c>
      <c r="D5">
        <v>44</v>
      </c>
      <c r="E5">
        <v>55</v>
      </c>
      <c r="F5" t="str">
        <f t="shared" si="0"/>
        <v>Pass</v>
      </c>
    </row>
    <row r="6" spans="1:6" x14ac:dyDescent="0.3">
      <c r="A6">
        <v>5</v>
      </c>
      <c r="B6" t="s">
        <v>10</v>
      </c>
      <c r="C6">
        <v>33</v>
      </c>
      <c r="D6">
        <v>78</v>
      </c>
      <c r="E6">
        <v>77</v>
      </c>
      <c r="F6" t="str">
        <f t="shared" si="0"/>
        <v>Fail</v>
      </c>
    </row>
    <row r="7" spans="1:6" x14ac:dyDescent="0.3">
      <c r="D7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93C26-F917-4F20-A5B4-CE61275C5F48}">
  <dimension ref="A1:F12"/>
  <sheetViews>
    <sheetView zoomScale="190" zoomScaleNormal="190" workbookViewId="0">
      <selection activeCell="D14" sqref="D14"/>
    </sheetView>
  </sheetViews>
  <sheetFormatPr defaultRowHeight="14.4" x14ac:dyDescent="0.3"/>
  <cols>
    <col min="1" max="1" width="5.44140625" bestFit="1" customWidth="1"/>
    <col min="2" max="2" width="14.44140625" bestFit="1" customWidth="1"/>
    <col min="3" max="3" width="10.109375" bestFit="1" customWidth="1"/>
    <col min="4" max="4" width="16.88671875" bestFit="1" customWidth="1"/>
    <col min="5" max="5" width="16.77734375" bestFit="1" customWidth="1"/>
  </cols>
  <sheetData>
    <row r="1" spans="1:6" x14ac:dyDescent="0.3">
      <c r="A1" t="s">
        <v>18</v>
      </c>
      <c r="B1" t="s">
        <v>17</v>
      </c>
      <c r="C1" t="s">
        <v>21</v>
      </c>
      <c r="D1" t="s">
        <v>19</v>
      </c>
      <c r="E1" t="s">
        <v>20</v>
      </c>
      <c r="F1" t="s">
        <v>20</v>
      </c>
    </row>
    <row r="2" spans="1:6" x14ac:dyDescent="0.3">
      <c r="A2">
        <v>1</v>
      </c>
      <c r="B2" t="s">
        <v>6</v>
      </c>
      <c r="C2">
        <v>117</v>
      </c>
      <c r="D2">
        <v>4</v>
      </c>
      <c r="E2" t="str">
        <f>IF(AND(C2&gt;=130,D2&gt;=5),"Yes","No")</f>
        <v>No</v>
      </c>
      <c r="F2" t="str">
        <f>IF(OR(C2&gt;=130,D2&gt;=5),"Yes","No")</f>
        <v>No</v>
      </c>
    </row>
    <row r="3" spans="1:6" x14ac:dyDescent="0.3">
      <c r="A3">
        <v>2</v>
      </c>
      <c r="B3" t="s">
        <v>7</v>
      </c>
      <c r="C3">
        <v>110</v>
      </c>
      <c r="D3">
        <v>6</v>
      </c>
      <c r="E3" t="str">
        <f t="shared" ref="E3:E10" si="0">IF(AND(C3&gt;=130,D3&gt;=5),"Yes","No")</f>
        <v>No</v>
      </c>
      <c r="F3" t="str">
        <f t="shared" ref="F3:F10" si="1">IF(OR(C3&gt;=130,D3&gt;=5),"Yes","No")</f>
        <v>Yes</v>
      </c>
    </row>
    <row r="4" spans="1:6" x14ac:dyDescent="0.3">
      <c r="A4">
        <v>3</v>
      </c>
      <c r="B4" t="s">
        <v>8</v>
      </c>
      <c r="C4">
        <v>169</v>
      </c>
      <c r="D4">
        <v>9</v>
      </c>
      <c r="E4" t="str">
        <f t="shared" si="0"/>
        <v>Yes</v>
      </c>
      <c r="F4" t="str">
        <f t="shared" si="1"/>
        <v>Yes</v>
      </c>
    </row>
    <row r="5" spans="1:6" x14ac:dyDescent="0.3">
      <c r="A5">
        <v>4</v>
      </c>
      <c r="B5" t="s">
        <v>9</v>
      </c>
      <c r="C5">
        <v>143</v>
      </c>
      <c r="D5">
        <v>3</v>
      </c>
      <c r="E5" t="str">
        <f t="shared" si="0"/>
        <v>No</v>
      </c>
      <c r="F5" t="str">
        <f t="shared" si="1"/>
        <v>Yes</v>
      </c>
    </row>
    <row r="6" spans="1:6" x14ac:dyDescent="0.3">
      <c r="A6">
        <v>5</v>
      </c>
      <c r="B6" t="s">
        <v>10</v>
      </c>
      <c r="C6">
        <v>140</v>
      </c>
      <c r="D6">
        <v>7</v>
      </c>
      <c r="E6" t="str">
        <f t="shared" si="0"/>
        <v>Yes</v>
      </c>
      <c r="F6" t="str">
        <f t="shared" si="1"/>
        <v>Yes</v>
      </c>
    </row>
    <row r="7" spans="1:6" x14ac:dyDescent="0.3">
      <c r="A7">
        <v>6</v>
      </c>
      <c r="B7" t="s">
        <v>22</v>
      </c>
      <c r="C7">
        <v>179</v>
      </c>
      <c r="D7">
        <v>4</v>
      </c>
      <c r="E7" t="str">
        <f t="shared" si="0"/>
        <v>No</v>
      </c>
      <c r="F7" t="str">
        <f t="shared" si="1"/>
        <v>Yes</v>
      </c>
    </row>
    <row r="8" spans="1:6" x14ac:dyDescent="0.3">
      <c r="A8">
        <v>7</v>
      </c>
      <c r="B8" t="s">
        <v>23</v>
      </c>
      <c r="C8">
        <v>136</v>
      </c>
      <c r="D8">
        <v>2</v>
      </c>
      <c r="E8" t="str">
        <f t="shared" si="0"/>
        <v>No</v>
      </c>
      <c r="F8" t="str">
        <f t="shared" si="1"/>
        <v>Yes</v>
      </c>
    </row>
    <row r="9" spans="1:6" x14ac:dyDescent="0.3">
      <c r="A9">
        <v>8</v>
      </c>
      <c r="B9" t="s">
        <v>24</v>
      </c>
      <c r="C9">
        <v>164</v>
      </c>
      <c r="D9">
        <v>3</v>
      </c>
      <c r="E9" t="str">
        <f t="shared" si="0"/>
        <v>No</v>
      </c>
      <c r="F9" t="str">
        <f t="shared" si="1"/>
        <v>Yes</v>
      </c>
    </row>
    <row r="10" spans="1:6" x14ac:dyDescent="0.3">
      <c r="A10">
        <v>9</v>
      </c>
      <c r="B10" t="s">
        <v>25</v>
      </c>
      <c r="C10">
        <v>102</v>
      </c>
      <c r="D10">
        <v>6</v>
      </c>
      <c r="E10" t="str">
        <f t="shared" si="0"/>
        <v>No</v>
      </c>
      <c r="F10" t="str">
        <f t="shared" si="1"/>
        <v>Yes</v>
      </c>
    </row>
    <row r="12" spans="1:6" x14ac:dyDescent="0.3">
      <c r="E12" t="s">
        <v>26</v>
      </c>
      <c r="F12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Nested_If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YUVRAJ</dc:creator>
  <cp:lastModifiedBy>Yuvraj Shinde</cp:lastModifiedBy>
  <dcterms:created xsi:type="dcterms:W3CDTF">2015-06-05T18:17:20Z</dcterms:created>
  <dcterms:modified xsi:type="dcterms:W3CDTF">2026-10-25T07:03:37Z</dcterms:modified>
</cp:coreProperties>
</file>