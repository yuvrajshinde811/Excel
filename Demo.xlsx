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YUVRAJ\Desktop\My Activities\GitHub\Excel\"/>
    </mc:Choice>
  </mc:AlternateContent>
  <xr:revisionPtr revIDLastSave="0" documentId="13_ncr:1_{AD6209B6-C73C-4C98-AACA-7B17754959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2" i="2"/>
  <c r="J4" i="1"/>
  <c r="K3" i="1"/>
  <c r="K4" i="1"/>
  <c r="K5" i="1"/>
  <c r="K2" i="1"/>
  <c r="J3" i="1"/>
  <c r="J5" i="1"/>
  <c r="J2" i="1"/>
  <c r="I3" i="1"/>
  <c r="I4" i="1"/>
  <c r="I5" i="1"/>
  <c r="I6" i="1"/>
  <c r="I2" i="1"/>
  <c r="H3" i="1"/>
  <c r="H4" i="1"/>
  <c r="H5" i="1"/>
  <c r="H6" i="1"/>
  <c r="H2" i="1"/>
  <c r="G3" i="1"/>
  <c r="G4" i="1"/>
  <c r="G5" i="1"/>
  <c r="G6" i="1"/>
  <c r="G2" i="1"/>
  <c r="F3" i="1"/>
  <c r="F4" i="1"/>
  <c r="F5" i="1"/>
  <c r="F6" i="1"/>
  <c r="J6" i="1" s="1"/>
  <c r="K6" i="1" s="1"/>
  <c r="F2" i="1"/>
</calcChain>
</file>

<file path=xl/sharedStrings.xml><?xml version="1.0" encoding="utf-8"?>
<sst xmlns="http://schemas.openxmlformats.org/spreadsheetml/2006/main" count="27" uniqueCount="16">
  <si>
    <t>Sr. No</t>
  </si>
  <si>
    <t>Name of Student</t>
  </si>
  <si>
    <t>Sub1</t>
  </si>
  <si>
    <t>Sub2</t>
  </si>
  <si>
    <t>Sub3</t>
  </si>
  <si>
    <t>Total</t>
  </si>
  <si>
    <t>A</t>
  </si>
  <si>
    <t>B</t>
  </si>
  <si>
    <t>C</t>
  </si>
  <si>
    <t>D</t>
  </si>
  <si>
    <t>E</t>
  </si>
  <si>
    <t>Max</t>
  </si>
  <si>
    <t>Min</t>
  </si>
  <si>
    <t>Average</t>
  </si>
  <si>
    <t>%Age</t>
  </si>
  <si>
    <t>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</si>
</sst>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2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tabSelected="1" zoomScale="240" zoomScaleNormal="240" workbookViewId="0">
      <selection activeCell="G10" sqref="G10"/>
    </sheetView>
  </sheetViews>
  <sheetFormatPr defaultRowHeight="14.4" x14ac:dyDescent="0.3"/>
  <cols>
    <col min="1" max="1" width="6" bestFit="1" customWidth="1"/>
    <col min="2" max="2" width="14.88671875" bestFit="1" customWidth="1"/>
    <col min="3" max="5" width="4.88671875" bestFit="1" customWidth="1"/>
    <col min="6" max="6" width="5.21875" bestFit="1" customWidth="1"/>
    <col min="7" max="7" width="4.5546875" bestFit="1" customWidth="1"/>
    <col min="8" max="8" width="4.109375" bestFit="1" customWidth="1"/>
    <col min="9" max="9" width="7.5546875" bestFit="1" customWidth="1"/>
    <col min="10" max="10" width="5.5546875" bestFit="1" customWidth="1"/>
    <col min="11" max="11" width="6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</row>
    <row r="2" spans="1:11" x14ac:dyDescent="0.3">
      <c r="A2">
        <v>1</v>
      </c>
      <c r="B2" t="s">
        <v>6</v>
      </c>
      <c r="C2">
        <v>90</v>
      </c>
      <c r="D2">
        <v>79</v>
      </c>
      <c r="E2">
        <v>44</v>
      </c>
      <c r="F2">
        <f>SUM(C2:E2)</f>
        <v>213</v>
      </c>
      <c r="G2">
        <f>MAX(C2:E2)</f>
        <v>90</v>
      </c>
      <c r="H2">
        <f>MIN(C2:E2)</f>
        <v>44</v>
      </c>
      <c r="I2" s="1">
        <f>AVERAGE(C2:E2)</f>
        <v>71</v>
      </c>
      <c r="J2" s="2">
        <f>F2/300%</f>
        <v>71</v>
      </c>
      <c r="K2" t="str">
        <f>IF(J2&gt;=35,"Pass","Fail")</f>
        <v>Pass</v>
      </c>
    </row>
    <row r="3" spans="1:11" x14ac:dyDescent="0.3">
      <c r="A3">
        <v>2</v>
      </c>
      <c r="B3" t="s">
        <v>7</v>
      </c>
      <c r="C3">
        <v>48</v>
      </c>
      <c r="D3">
        <v>91</v>
      </c>
      <c r="E3">
        <v>77</v>
      </c>
      <c r="F3">
        <f t="shared" ref="F3:F6" si="0">SUM(C3:E3)</f>
        <v>216</v>
      </c>
      <c r="G3">
        <f t="shared" ref="G3:G6" si="1">MAX(C3:E3)</f>
        <v>91</v>
      </c>
      <c r="H3">
        <f t="shared" ref="H3:H6" si="2">MIN(C3:E3)</f>
        <v>48</v>
      </c>
      <c r="I3" s="1">
        <f t="shared" ref="I3:I6" si="3">AVERAGE(C3:E3)</f>
        <v>72</v>
      </c>
      <c r="J3" s="2">
        <f t="shared" ref="J3:J6" si="4">F3/300%</f>
        <v>72</v>
      </c>
      <c r="K3" t="str">
        <f t="shared" ref="K3:K6" si="5">IF(J3&gt;=35,"Pass","Fail")</f>
        <v>Pass</v>
      </c>
    </row>
    <row r="4" spans="1:11" x14ac:dyDescent="0.3">
      <c r="A4">
        <v>3</v>
      </c>
      <c r="B4" t="s">
        <v>8</v>
      </c>
      <c r="C4">
        <v>94</v>
      </c>
      <c r="D4">
        <v>77</v>
      </c>
      <c r="E4">
        <v>80</v>
      </c>
      <c r="F4">
        <f t="shared" si="0"/>
        <v>251</v>
      </c>
      <c r="G4">
        <f t="shared" si="1"/>
        <v>94</v>
      </c>
      <c r="H4">
        <f t="shared" si="2"/>
        <v>77</v>
      </c>
      <c r="I4" s="1">
        <f t="shared" si="3"/>
        <v>83.666666666666671</v>
      </c>
      <c r="J4" s="2">
        <f t="shared" si="4"/>
        <v>83.666666666666671</v>
      </c>
      <c r="K4" t="str">
        <f t="shared" si="5"/>
        <v>Pass</v>
      </c>
    </row>
    <row r="5" spans="1:11" x14ac:dyDescent="0.3">
      <c r="A5">
        <v>4</v>
      </c>
      <c r="B5" t="s">
        <v>9</v>
      </c>
      <c r="C5">
        <v>90</v>
      </c>
      <c r="D5">
        <v>44</v>
      </c>
      <c r="E5">
        <v>55</v>
      </c>
      <c r="F5">
        <f t="shared" si="0"/>
        <v>189</v>
      </c>
      <c r="G5">
        <f t="shared" si="1"/>
        <v>90</v>
      </c>
      <c r="H5">
        <f t="shared" si="2"/>
        <v>44</v>
      </c>
      <c r="I5" s="1">
        <f t="shared" si="3"/>
        <v>63</v>
      </c>
      <c r="J5" s="2">
        <f t="shared" si="4"/>
        <v>63</v>
      </c>
      <c r="K5" t="str">
        <f t="shared" si="5"/>
        <v>Pass</v>
      </c>
    </row>
    <row r="6" spans="1:11" x14ac:dyDescent="0.3">
      <c r="A6">
        <v>5</v>
      </c>
      <c r="B6" t="s">
        <v>10</v>
      </c>
      <c r="C6">
        <v>62</v>
      </c>
      <c r="D6">
        <v>78</v>
      </c>
      <c r="E6">
        <v>77</v>
      </c>
      <c r="F6">
        <f t="shared" si="0"/>
        <v>217</v>
      </c>
      <c r="G6">
        <f t="shared" si="1"/>
        <v>78</v>
      </c>
      <c r="H6">
        <f t="shared" si="2"/>
        <v>62</v>
      </c>
      <c r="I6" s="1">
        <f t="shared" si="3"/>
        <v>72.333333333333329</v>
      </c>
      <c r="J6" s="2">
        <f t="shared" si="4"/>
        <v>72.333333333333329</v>
      </c>
      <c r="K6" t="str">
        <f t="shared" si="5"/>
        <v>Pass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507E9-BEC7-4583-B3E5-5ECEC7CDD939}">
  <dimension ref="A1:F6"/>
  <sheetViews>
    <sheetView zoomScale="196" workbookViewId="0">
      <selection activeCell="D3" sqref="D3"/>
    </sheetView>
  </sheetViews>
  <sheetFormatPr defaultRowHeight="14.4" x14ac:dyDescent="0.3"/>
  <cols>
    <col min="1" max="1" width="6" bestFit="1" customWidth="1"/>
    <col min="2" max="2" width="15" bestFit="1" customWidth="1"/>
    <col min="3" max="5" width="4.88671875" bestFit="1" customWidth="1"/>
    <col min="6" max="6" width="6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15</v>
      </c>
    </row>
    <row r="2" spans="1:6" x14ac:dyDescent="0.3">
      <c r="A2">
        <v>1</v>
      </c>
      <c r="B2" t="s">
        <v>6</v>
      </c>
      <c r="C2">
        <v>90</v>
      </c>
      <c r="D2">
        <v>79</v>
      </c>
      <c r="E2">
        <v>44</v>
      </c>
      <c r="F2" t="str">
        <f>IF(AND(C2&gt;=35,D2&gt;=35,E2&gt;=35),"Pass","Fail")</f>
        <v>Pass</v>
      </c>
    </row>
    <row r="3" spans="1:6" x14ac:dyDescent="0.3">
      <c r="A3">
        <v>2</v>
      </c>
      <c r="B3" t="s">
        <v>7</v>
      </c>
      <c r="C3">
        <v>48</v>
      </c>
      <c r="D3">
        <v>29</v>
      </c>
      <c r="E3">
        <v>77</v>
      </c>
      <c r="F3" t="str">
        <f t="shared" ref="F3:F6" si="0">IF(AND(C3&gt;=35,D3&gt;=35,E3&gt;=35),"Pass","Fail")</f>
        <v>Fail</v>
      </c>
    </row>
    <row r="4" spans="1:6" x14ac:dyDescent="0.3">
      <c r="A4">
        <v>3</v>
      </c>
      <c r="B4" t="s">
        <v>8</v>
      </c>
      <c r="C4">
        <v>94</v>
      </c>
      <c r="D4">
        <v>77</v>
      </c>
      <c r="E4">
        <v>80</v>
      </c>
      <c r="F4" t="str">
        <f t="shared" si="0"/>
        <v>Pass</v>
      </c>
    </row>
    <row r="5" spans="1:6" x14ac:dyDescent="0.3">
      <c r="A5">
        <v>4</v>
      </c>
      <c r="B5" t="s">
        <v>9</v>
      </c>
      <c r="C5">
        <v>90</v>
      </c>
      <c r="D5">
        <v>44</v>
      </c>
      <c r="E5">
        <v>55</v>
      </c>
      <c r="F5" t="str">
        <f t="shared" si="0"/>
        <v>Pass</v>
      </c>
    </row>
    <row r="6" spans="1:6" x14ac:dyDescent="0.3">
      <c r="A6">
        <v>5</v>
      </c>
      <c r="B6" t="s">
        <v>10</v>
      </c>
      <c r="C6">
        <v>33</v>
      </c>
      <c r="D6">
        <v>78</v>
      </c>
      <c r="E6">
        <v>77</v>
      </c>
      <c r="F6" t="str">
        <f t="shared" si="0"/>
        <v>Fail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YUVRAJ</dc:creator>
  <cp:lastModifiedBy>Yuvraj Shinde</cp:lastModifiedBy>
  <dcterms:created xsi:type="dcterms:W3CDTF">2015-06-05T18:17:20Z</dcterms:created>
  <dcterms:modified xsi:type="dcterms:W3CDTF">2026-10-23T09:21:39Z</dcterms:modified>
</cp:coreProperties>
</file>